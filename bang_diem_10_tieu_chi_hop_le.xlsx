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gDiem" state="visible" r:id="rId4"/>
  </sheets>
  <calcPr calcId="171027"/>
</workbook>
</file>

<file path=xl/sharedStrings.xml><?xml version="1.0" encoding="utf-8"?>
<sst xmlns="http://schemas.openxmlformats.org/spreadsheetml/2006/main" count="44" uniqueCount="44">
  <si>
    <t>MSSV</t>
  </si>
  <si>
    <t>Họ tên</t>
  </si>
  <si>
    <t>Tiêu chí 1 (10%)</t>
  </si>
  <si>
    <t>Tiêu chí 2 (10%)</t>
  </si>
  <si>
    <t>Tiêu chí 3 (10%)</t>
  </si>
  <si>
    <t>Tiêu chí 4 (10%)</t>
  </si>
  <si>
    <t>Tiêu chí 5 (10%)</t>
  </si>
  <si>
    <t>Tiêu chí 6 (10%)</t>
  </si>
  <si>
    <t>Tiêu chí 7 (10%)</t>
  </si>
  <si>
    <t>Tiêu chí 8 (10%)</t>
  </si>
  <si>
    <t>Tiêu chí 9 (10%)</t>
  </si>
  <si>
    <t>Tiêu chí 10 (10%)</t>
  </si>
  <si>
    <t>Điểm</t>
  </si>
  <si>
    <t>Feedback</t>
  </si>
  <si>
    <t>21110001</t>
  </si>
  <si>
    <t>Nguyễn Văn An</t>
  </si>
  <si>
    <t>Bài làm xuất sắc</t>
  </si>
  <si>
    <t>21110002</t>
  </si>
  <si>
    <t>Trần Thị Bích</t>
  </si>
  <si>
    <t>Nắm vững lý thuyết, trình bày tốt</t>
  </si>
  <si>
    <t>21110003</t>
  </si>
  <si>
    <t>Lê Hoàng Cường</t>
  </si>
  <si>
    <t>Khá tốt, cần chú ý chi tiết</t>
  </si>
  <si>
    <t>21110004</t>
  </si>
  <si>
    <t>Phạm Đức Dũng</t>
  </si>
  <si>
    <t>Đạt yêu cầu</t>
  </si>
  <si>
    <t>21110005</t>
  </si>
  <si>
    <t>Hoàng Mai Em</t>
  </si>
  <si>
    <t>Kỹ năng lập trình tốt</t>
  </si>
  <si>
    <t>21110006</t>
  </si>
  <si>
    <t>Vũ Quốc Phong</t>
  </si>
  <si>
    <t>Làm bài đầy đủ</t>
  </si>
  <si>
    <t>21110007</t>
  </si>
  <si>
    <t>Đặng Thu Hà</t>
  </si>
  <si>
    <t>Rất chỉn chu, sáng tạo</t>
  </si>
  <si>
    <t>21110008</t>
  </si>
  <si>
    <t>Bùi Minh Khang</t>
  </si>
  <si>
    <t>Cần cải thiện phần thuyết minh</t>
  </si>
  <si>
    <t>21110009</t>
  </si>
  <si>
    <t>Đỗ Phương Linh</t>
  </si>
  <si>
    <t>Tốt</t>
  </si>
  <si>
    <t>21110010</t>
  </si>
  <si>
    <t>Ngô Quang Minh</t>
  </si>
  <si>
    <t>Đúng tiến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</si>
</sst>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1" width="14" customWidth="1"/>
    <col min="2" max="2" width="24" customWidth="1"/>
    <col min="3" max="12" width="18" customWidth="1"/>
    <col min="13" max="13" width="12" customWidth="1"/>
    <col min="14" max="14" width="40" customWidth="1"/>
  </cols>
  <sheetData>
    <row r="1" ht="26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10</v>
      </c>
      <c r="D2">
        <v>9.5</v>
      </c>
      <c r="E2">
        <v>10</v>
      </c>
      <c r="F2">
        <v>9</v>
      </c>
      <c r="G2">
        <v>10</v>
      </c>
      <c r="H2">
        <v>9.5</v>
      </c>
      <c r="I2">
        <v>10</v>
      </c>
      <c r="J2">
        <v>9</v>
      </c>
      <c r="K2">
        <v>10</v>
      </c>
      <c r="L2">
        <v>9.5</v>
      </c>
      <c r="M2">
        <f>ROUND(C2*0.1+D2*0.1+E2*0.1+F2*0.1+G2*0.1+H2*0.1+I2*0.1+J2*0.1+K2*0.1+L2*0.1, 1)</f>
        <v>9.6</v>
      </c>
      <c r="N2" t="s">
        <v>16</v>
      </c>
    </row>
    <row r="3" spans="1:14" x14ac:dyDescent="0.25">
      <c r="A3" t="s">
        <v>17</v>
      </c>
      <c r="B3" t="s">
        <v>18</v>
      </c>
      <c r="C3">
        <v>8.5</v>
      </c>
      <c r="D3">
        <v>9</v>
      </c>
      <c r="E3">
        <v>7.5</v>
      </c>
      <c r="F3">
        <v>8</v>
      </c>
      <c r="G3">
        <v>8.5</v>
      </c>
      <c r="H3">
        <v>7</v>
      </c>
      <c r="I3">
        <v>9</v>
      </c>
      <c r="J3">
        <v>8.5</v>
      </c>
      <c r="K3">
        <v>8</v>
      </c>
      <c r="L3">
        <v>8</v>
      </c>
      <c r="M3">
        <f>ROUND(C3*0.1+D3*0.1+E3*0.1+F3*0.1+G3*0.1+H3*0.1+I3*0.1+J3*0.1+K3*0.1+L3*0.1, 1)</f>
        <v>8.2</v>
      </c>
      <c r="N3" t="s">
        <v>19</v>
      </c>
    </row>
    <row r="4" spans="1:14" x14ac:dyDescent="0.25">
      <c r="A4" t="s">
        <v>20</v>
      </c>
      <c r="B4" t="s">
        <v>21</v>
      </c>
      <c r="C4">
        <v>7</v>
      </c>
      <c r="D4">
        <v>7.5</v>
      </c>
      <c r="E4">
        <v>8</v>
      </c>
      <c r="F4">
        <v>7</v>
      </c>
      <c r="G4">
        <v>6.5</v>
      </c>
      <c r="H4">
        <v>7</v>
      </c>
      <c r="I4">
        <v>8</v>
      </c>
      <c r="J4">
        <v>7.5</v>
      </c>
      <c r="K4">
        <v>7</v>
      </c>
      <c r="L4">
        <v>7.5</v>
      </c>
      <c r="M4">
        <f>ROUND(C4*0.1+D4*0.1+E4*0.1+F4*0.1+G4*0.1+H4*0.1+I4*0.1+J4*0.1+K4*0.1+L4*0.1, 1)</f>
        <v>7.3</v>
      </c>
      <c r="N4" t="s">
        <v>22</v>
      </c>
    </row>
    <row r="5" spans="1:14" x14ac:dyDescent="0.25">
      <c r="A5" t="s">
        <v>23</v>
      </c>
      <c r="B5" t="s">
        <v>24</v>
      </c>
      <c r="C5">
        <v>6</v>
      </c>
      <c r="D5">
        <v>6.5</v>
      </c>
      <c r="E5">
        <v>7</v>
      </c>
      <c r="F5">
        <v>6</v>
      </c>
      <c r="G5">
        <v>6.5</v>
      </c>
      <c r="H5">
        <v>7</v>
      </c>
      <c r="I5">
        <v>6</v>
      </c>
      <c r="J5">
        <v>6.5</v>
      </c>
      <c r="K5">
        <v>7</v>
      </c>
      <c r="L5">
        <v>6.5</v>
      </c>
      <c r="M5">
        <f>ROUND(C5*0.1+D5*0.1+E5*0.1+F5*0.1+G5*0.1+H5*0.1+I5*0.1+J5*0.1+K5*0.1+L5*0.1, 1)</f>
        <v>6.5</v>
      </c>
      <c r="N5" t="s">
        <v>25</v>
      </c>
    </row>
    <row r="6" spans="1:14" x14ac:dyDescent="0.25">
      <c r="A6" t="s">
        <v>26</v>
      </c>
      <c r="B6" t="s">
        <v>27</v>
      </c>
      <c r="C6">
        <v>9</v>
      </c>
      <c r="D6">
        <v>8.5</v>
      </c>
      <c r="E6">
        <v>9</v>
      </c>
      <c r="F6">
        <v>8.5</v>
      </c>
      <c r="G6">
        <v>9</v>
      </c>
      <c r="H6">
        <v>8.5</v>
      </c>
      <c r="I6">
        <v>9</v>
      </c>
      <c r="J6">
        <v>8.5</v>
      </c>
      <c r="K6">
        <v>9</v>
      </c>
      <c r="L6">
        <v>8.5</v>
      </c>
      <c r="M6">
        <f>ROUND(C6*0.1+D6*0.1+E6*0.1+F6*0.1+G6*0.1+H6*0.1+I6*0.1+J6*0.1+K6*0.1+L6*0.1, 1)</f>
        <v>8.8</v>
      </c>
      <c r="N6" t="s">
        <v>28</v>
      </c>
    </row>
    <row r="7" spans="1:14" x14ac:dyDescent="0.25">
      <c r="A7" t="s">
        <v>29</v>
      </c>
      <c r="B7" t="s">
        <v>30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  <c r="I7">
        <v>8</v>
      </c>
      <c r="J7">
        <v>8</v>
      </c>
      <c r="K7">
        <v>8</v>
      </c>
      <c r="L7">
        <v>8</v>
      </c>
      <c r="M7">
        <f>ROUND(C7*0.1+D7*0.1+E7*0.1+F7*0.1+G7*0.1+H7*0.1+I7*0.1+J7*0.1+K7*0.1+L7*0.1, 1)</f>
        <v>8</v>
      </c>
      <c r="N7" t="s">
        <v>31</v>
      </c>
    </row>
    <row r="8" spans="1:14" x14ac:dyDescent="0.25">
      <c r="A8" t="s">
        <v>32</v>
      </c>
      <c r="B8" t="s">
        <v>33</v>
      </c>
      <c r="C8">
        <v>9.5</v>
      </c>
      <c r="D8">
        <v>9</v>
      </c>
      <c r="E8">
        <v>9.5</v>
      </c>
      <c r="F8">
        <v>9</v>
      </c>
      <c r="G8">
        <v>9.5</v>
      </c>
      <c r="H8">
        <v>9</v>
      </c>
      <c r="I8">
        <v>9.5</v>
      </c>
      <c r="J8">
        <v>9</v>
      </c>
      <c r="K8">
        <v>9.5</v>
      </c>
      <c r="L8">
        <v>9</v>
      </c>
      <c r="M8">
        <f>ROUND(C8*0.1+D8*0.1+E8*0.1+F8*0.1+G8*0.1+H8*0.1+I8*0.1+J8*0.1+K8*0.1+L8*0.1, 1)</f>
        <v>9.3</v>
      </c>
      <c r="N8" t="s">
        <v>34</v>
      </c>
    </row>
    <row r="9" spans="1:14" x14ac:dyDescent="0.25">
      <c r="A9" t="s">
        <v>35</v>
      </c>
      <c r="B9" t="s">
        <v>36</v>
      </c>
      <c r="C9">
        <v>5</v>
      </c>
      <c r="D9">
        <v>5.5</v>
      </c>
      <c r="E9">
        <v>6</v>
      </c>
      <c r="F9">
        <v>5</v>
      </c>
      <c r="G9">
        <v>5.5</v>
      </c>
      <c r="H9">
        <v>6</v>
      </c>
      <c r="I9">
        <v>5</v>
      </c>
      <c r="J9">
        <v>5.5</v>
      </c>
      <c r="K9">
        <v>6</v>
      </c>
      <c r="L9">
        <v>5.5</v>
      </c>
      <c r="M9">
        <f>ROUND(C9*0.1+D9*0.1+E9*0.1+F9*0.1+G9*0.1+H9*0.1+I9*0.1+J9*0.1+K9*0.1+L9*0.1, 1)</f>
        <v>5.5</v>
      </c>
      <c r="N9" t="s">
        <v>37</v>
      </c>
    </row>
    <row r="10" spans="1:14" x14ac:dyDescent="0.25">
      <c r="A10" t="s">
        <v>38</v>
      </c>
      <c r="B10" t="s">
        <v>39</v>
      </c>
      <c r="C10">
        <v>8</v>
      </c>
      <c r="D10">
        <v>8.5</v>
      </c>
      <c r="E10">
        <v>8</v>
      </c>
      <c r="F10">
        <v>8.5</v>
      </c>
      <c r="G10">
        <v>8</v>
      </c>
      <c r="H10">
        <v>8.5</v>
      </c>
      <c r="I10">
        <v>8</v>
      </c>
      <c r="J10">
        <v>8.5</v>
      </c>
      <c r="K10">
        <v>8</v>
      </c>
      <c r="L10">
        <v>8.5</v>
      </c>
      <c r="M10">
        <f>ROUND(C10*0.1+D10*0.1+E10*0.1+F10*0.1+G10*0.1+H10*0.1+I10*0.1+J10*0.1+K10*0.1+L10*0.1, 1)</f>
        <v>8.3</v>
      </c>
      <c r="N10" t="s">
        <v>40</v>
      </c>
    </row>
    <row r="11" spans="1:14" x14ac:dyDescent="0.25">
      <c r="A11" t="s">
        <v>41</v>
      </c>
      <c r="B11" t="s">
        <v>42</v>
      </c>
      <c r="C11">
        <v>7.5</v>
      </c>
      <c r="D11">
        <v>7</v>
      </c>
      <c r="E11">
        <v>7.5</v>
      </c>
      <c r="F11">
        <v>7</v>
      </c>
      <c r="G11">
        <v>7.5</v>
      </c>
      <c r="H11">
        <v>7</v>
      </c>
      <c r="I11">
        <v>7.5</v>
      </c>
      <c r="J11">
        <v>7</v>
      </c>
      <c r="K11">
        <v>7.5</v>
      </c>
      <c r="L11">
        <v>7</v>
      </c>
      <c r="M11">
        <f>ROUND(C11*0.1+D11*0.1+E11*0.1+F11*0.1+G11*0.1+H11*0.1+I11*0.1+J11*0.1+K11*0.1+L11*0.1, 1)</f>
        <v>7.3</v>
      </c>
      <c r="N1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BangDiem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2026-10-27T01:48:53Z</dcterms:created>
  <dcterms:modified xsi:type="dcterms:W3CDTF">2026-10-27T01:48:53Z</dcterms:modified>
</cp:coreProperties>
</file>